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ownloads\"/>
    </mc:Choice>
  </mc:AlternateContent>
  <xr:revisionPtr revIDLastSave="602" documentId="13_ncr:1_{26BD9A47-B0B9-426B-B7E3-FF401D7F6EF1}" xr6:coauthVersionLast="47" xr6:coauthVersionMax="47" xr10:uidLastSave="{915DC7C4-7753-4481-B4C3-FA0FE38E864A}"/>
  <bookViews>
    <workbookView xWindow="0" yWindow="0" windowWidth="10660" windowHeight="4070" firstSheet="5" activeTab="7" xr2:uid="{D5F8A724-D9F7-4A04-989C-AB7680564365}"/>
  </bookViews>
  <sheets>
    <sheet name="Rotokennlinie" sheetId="1" r:id="rId1"/>
    <sheet name="Pumpenkennlinie 1" sheetId="3" r:id="rId2"/>
    <sheet name="Pumpenkennlinie 2" sheetId="2" r:id="rId3"/>
    <sheet name="Pumpenkennlinie 3" sheetId="4" r:id="rId4"/>
    <sheet name="Pumpenkennlinie final" sheetId="5" r:id="rId5"/>
    <sheet name="Rotokennlinie für Plakat" sheetId="8" r:id="rId6"/>
    <sheet name="Pumpenkennlinie für Plakat" sheetId="7" r:id="rId7"/>
    <sheet name="Übersetzung" sheetId="6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8" l="1"/>
  <c r="C25" i="8"/>
  <c r="C24" i="8"/>
  <c r="C17" i="8"/>
  <c r="B17" i="8"/>
  <c r="B16" i="8"/>
  <c r="B15" i="8"/>
  <c r="B14" i="8"/>
  <c r="B13" i="8"/>
  <c r="B12" i="8"/>
  <c r="B11" i="8"/>
  <c r="B10" i="8"/>
  <c r="D9" i="8"/>
  <c r="C9" i="8"/>
  <c r="E9" i="8" s="1"/>
  <c r="D8" i="8"/>
  <c r="C8" i="8"/>
  <c r="E8" i="8" s="1"/>
  <c r="E7" i="8"/>
  <c r="D7" i="8"/>
  <c r="E6" i="8"/>
  <c r="D6" i="8"/>
  <c r="E5" i="8"/>
  <c r="D5" i="8"/>
  <c r="E4" i="8"/>
  <c r="D4" i="8"/>
  <c r="E3" i="8"/>
  <c r="D3" i="8"/>
  <c r="E2" i="8"/>
  <c r="D2" i="8"/>
  <c r="B15" i="7"/>
  <c r="B14" i="7"/>
  <c r="B13" i="7"/>
  <c r="E6" i="7"/>
  <c r="D6" i="7"/>
  <c r="E5" i="7"/>
  <c r="D5" i="7"/>
  <c r="E4" i="7"/>
  <c r="D4" i="7"/>
  <c r="E3" i="7"/>
  <c r="D3" i="7"/>
  <c r="E2" i="7"/>
  <c r="D2" i="7"/>
  <c r="B15" i="5"/>
  <c r="B14" i="5"/>
  <c r="B6" i="6"/>
  <c r="C6" i="6"/>
  <c r="D6" i="6"/>
  <c r="E6" i="6"/>
  <c r="E4" i="6"/>
  <c r="D5" i="6"/>
  <c r="E5" i="6"/>
  <c r="B1" i="6"/>
  <c r="A1" i="6"/>
  <c r="D6" i="1"/>
  <c r="B13" i="5"/>
  <c r="C24" i="1"/>
  <c r="C8" i="1"/>
  <c r="E6" i="5"/>
  <c r="D6" i="5"/>
  <c r="C17" i="1"/>
  <c r="E5" i="5"/>
  <c r="D5" i="5"/>
  <c r="E4" i="5"/>
  <c r="D4" i="5"/>
  <c r="E3" i="5"/>
  <c r="D3" i="5"/>
  <c r="E2" i="5"/>
  <c r="D2" i="5"/>
  <c r="D3" i="4"/>
  <c r="D4" i="4"/>
  <c r="D5" i="4"/>
  <c r="D6" i="4"/>
  <c r="D7" i="4"/>
  <c r="E7" i="4"/>
  <c r="E6" i="4"/>
  <c r="E5" i="4"/>
  <c r="E4" i="4"/>
  <c r="E3" i="4"/>
  <c r="E2" i="4"/>
  <c r="D2" i="4"/>
  <c r="D3" i="3"/>
  <c r="D2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  <c r="D23" i="1"/>
  <c r="D24" i="1"/>
  <c r="D25" i="1"/>
  <c r="D15" i="1"/>
  <c r="D16" i="1"/>
  <c r="D17" i="1"/>
  <c r="D7" i="1"/>
  <c r="D8" i="1"/>
  <c r="D9" i="1"/>
  <c r="C25" i="1"/>
  <c r="B25" i="1"/>
  <c r="B23" i="1"/>
  <c r="B24" i="1"/>
  <c r="B15" i="1"/>
  <c r="B16" i="1"/>
  <c r="B17" i="1"/>
  <c r="C9" i="1"/>
  <c r="D7" i="3"/>
  <c r="D6" i="3"/>
  <c r="D5" i="3"/>
  <c r="D4" i="3"/>
  <c r="D2" i="2"/>
  <c r="D3" i="2"/>
  <c r="D4" i="2"/>
  <c r="D5" i="2"/>
  <c r="D6" i="2"/>
  <c r="D7" i="2"/>
  <c r="E7" i="3"/>
  <c r="E6" i="3"/>
  <c r="E5" i="3"/>
  <c r="E4" i="3"/>
  <c r="E3" i="3"/>
  <c r="E2" i="3"/>
  <c r="D2" i="1"/>
  <c r="D3" i="1"/>
  <c r="D4" i="1"/>
  <c r="D5" i="1"/>
  <c r="B18" i="8" l="1"/>
  <c r="E10" i="8"/>
  <c r="D10" i="8"/>
  <c r="B19" i="8"/>
  <c r="E11" i="8"/>
  <c r="D11" i="8"/>
  <c r="B20" i="8"/>
  <c r="E12" i="8"/>
  <c r="D12" i="8"/>
  <c r="B21" i="8"/>
  <c r="E13" i="8"/>
  <c r="D13" i="8"/>
  <c r="B22" i="8"/>
  <c r="E14" i="8"/>
  <c r="D14" i="8"/>
  <c r="B23" i="8"/>
  <c r="E15" i="8"/>
  <c r="D15" i="8"/>
  <c r="B24" i="8"/>
  <c r="E16" i="8"/>
  <c r="D16" i="8"/>
  <c r="B25" i="8"/>
  <c r="D17" i="8"/>
  <c r="D4" i="6"/>
  <c r="A2" i="6"/>
  <c r="B2" i="6"/>
  <c r="C1" i="6" s="1"/>
  <c r="B11" i="1"/>
  <c r="B12" i="1"/>
  <c r="B13" i="1"/>
  <c r="B14" i="1"/>
  <c r="B19" i="1"/>
  <c r="B21" i="1"/>
  <c r="B10" i="1"/>
  <c r="B18" i="1" s="1"/>
  <c r="E25" i="8" l="1"/>
  <c r="D25" i="8"/>
  <c r="E24" i="8"/>
  <c r="D24" i="8"/>
  <c r="E23" i="8"/>
  <c r="D23" i="8"/>
  <c r="E22" i="8"/>
  <c r="D22" i="8"/>
  <c r="E21" i="8"/>
  <c r="D21" i="8"/>
  <c r="E20" i="8"/>
  <c r="D20" i="8"/>
  <c r="E19" i="8"/>
  <c r="D19" i="8"/>
  <c r="E18" i="8"/>
  <c r="D18" i="8"/>
  <c r="C4" i="6"/>
  <c r="C5" i="6"/>
  <c r="C2" i="6"/>
  <c r="D1" i="6" s="1"/>
  <c r="D10" i="1"/>
  <c r="D21" i="1"/>
  <c r="D19" i="1"/>
  <c r="D14" i="1"/>
  <c r="D13" i="1"/>
  <c r="D12" i="1"/>
  <c r="D11" i="1"/>
  <c r="B22" i="1"/>
  <c r="B20" i="1"/>
  <c r="B4" i="6" l="1"/>
  <c r="B5" i="6"/>
  <c r="D2" i="6"/>
  <c r="E1" i="6" s="1"/>
  <c r="D20" i="1"/>
  <c r="D22" i="1"/>
  <c r="D18" i="1"/>
  <c r="E3" i="2"/>
  <c r="E4" i="2"/>
  <c r="E5" i="2"/>
  <c r="E6" i="2"/>
  <c r="E7" i="2"/>
  <c r="E2" i="2"/>
  <c r="E2" i="6" l="1"/>
  <c r="E3" i="6" l="1"/>
  <c r="D3" i="6" l="1"/>
  <c r="C3" i="6" l="1"/>
  <c r="B3" i="6" l="1"/>
</calcChain>
</file>

<file path=xl/sharedStrings.xml><?xml version="1.0" encoding="utf-8"?>
<sst xmlns="http://schemas.openxmlformats.org/spreadsheetml/2006/main" count="84" uniqueCount="27">
  <si>
    <t>Anstellwinkel</t>
  </si>
  <si>
    <t>Masse</t>
  </si>
  <si>
    <t xml:space="preserve">Zeit </t>
  </si>
  <si>
    <t>Drehmoment</t>
  </si>
  <si>
    <t>Leistung</t>
  </si>
  <si>
    <t>Höhendifferenz h:</t>
  </si>
  <si>
    <t>Erdbeschleunigung g:</t>
  </si>
  <si>
    <t>MPP</t>
  </si>
  <si>
    <t>Schnurradradius r:</t>
  </si>
  <si>
    <t>Massestücke:</t>
  </si>
  <si>
    <t>Zeit t in s:</t>
  </si>
  <si>
    <t>Wassermasse m:</t>
  </si>
  <si>
    <t>Leistung P</t>
  </si>
  <si>
    <t>Drehmoment M</t>
  </si>
  <si>
    <t>Massestückmasse:</t>
  </si>
  <si>
    <t>Schnurlaufradradius:</t>
  </si>
  <si>
    <t>max. Lochplattenabstand = 0,5mm</t>
  </si>
  <si>
    <t>Exzenterabstand = 0,02m</t>
  </si>
  <si>
    <t>max. Lochplattenabstand = inf</t>
  </si>
  <si>
    <t>max. Lochplattenabstand = 2 mm</t>
  </si>
  <si>
    <t>Exzentzerabstand = 0,0125 m</t>
  </si>
  <si>
    <t>I:</t>
  </si>
  <si>
    <t>In:</t>
  </si>
  <si>
    <t>Out:</t>
  </si>
  <si>
    <t>Näherung</t>
  </si>
  <si>
    <t>Zähler</t>
  </si>
  <si>
    <t>Nenner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</si>
</sst>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Rotorkennlinie P(M)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Anstellwinkel 30°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Anstellwinkel 30°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0.1"/>
            <c:backward val="0.1"/>
            <c:dispRSqr val="0"/>
            <c:dispEq val="0"/>
          </c:trendline>
          <c:xVal>
            <c:numRef>
              <c:f>Rotokennlinie!D2:D9</c:f>
              <c:numCache>
                <c:formatCode>General</c:formatCode>
                <c:ptCount val="8"/>
                <c:pt idx="0">
                  <c:v>4.9050000000000005E-3</c:v>
                </c:pt>
                <c:pt idx="1">
                  <c:v>9.810000000000001E-3</c:v>
                </c:pt>
                <c:pt idx="2">
                  <c:v>1.4715000000000001E-2</c:v>
                </c:pt>
                <c:pt idx="3">
                  <c:v>1.9620000000000002E-2</c:v>
                </c:pt>
                <c:pt idx="4">
                  <c:v>2.9430000000000001E-2</c:v>
                </c:pt>
                <c:pt idx="5">
                  <c:v>3.9240000000000004E-2</c:v>
                </c:pt>
                <c:pt idx="6">
                  <c:v>4.9050000000000003E-2</c:v>
                </c:pt>
                <c:pt idx="7">
                  <c:v>5.8860000000000003E-2</c:v>
                </c:pt>
              </c:numCache>
            </c:numRef>
          </c:xVal>
          <c:yVal>
            <c:numRef>
              <c:f>Rotokennlinie!E2:E9</c:f>
              <c:numCache>
                <c:formatCode>General</c:formatCode>
                <c:ptCount val="8"/>
                <c:pt idx="0">
                  <c:v>2.4697885196374624E-2</c:v>
                </c:pt>
                <c:pt idx="1">
                  <c:v>4.8468379446640328E-2</c:v>
                </c:pt>
                <c:pt idx="2">
                  <c:v>6.5516473731077468E-2</c:v>
                </c:pt>
                <c:pt idx="3">
                  <c:v>7.144938091769848E-2</c:v>
                </c:pt>
                <c:pt idx="4">
                  <c:v>8.9780353874313601E-2</c:v>
                </c:pt>
                <c:pt idx="5">
                  <c:v>8.151225592023266E-2</c:v>
                </c:pt>
                <c:pt idx="6">
                  <c:v>#N/A</c:v>
                </c:pt>
                <c:pt idx="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DF-4E2A-8186-A2A879C23E47}"/>
            </c:ext>
          </c:extLst>
        </c:ser>
        <c:ser>
          <c:idx val="1"/>
          <c:order val="1"/>
          <c:tx>
            <c:v>Anstellwinkel 45°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name>Anstellwinkel 45°</c:nam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forward val="0.1"/>
            <c:backward val="0.1"/>
            <c:dispRSqr val="0"/>
            <c:dispEq val="0"/>
          </c:trendline>
          <c:xVal>
            <c:numRef>
              <c:f>Rotokennlinie!D10:D17</c:f>
              <c:numCache>
                <c:formatCode>General</c:formatCode>
                <c:ptCount val="8"/>
                <c:pt idx="0">
                  <c:v>4.9050000000000005E-3</c:v>
                </c:pt>
                <c:pt idx="1">
                  <c:v>9.810000000000001E-3</c:v>
                </c:pt>
                <c:pt idx="2">
                  <c:v>1.4715000000000001E-2</c:v>
                </c:pt>
                <c:pt idx="3">
                  <c:v>1.9620000000000002E-2</c:v>
                </c:pt>
                <c:pt idx="4">
                  <c:v>2.9430000000000001E-2</c:v>
                </c:pt>
                <c:pt idx="5">
                  <c:v>3.9240000000000004E-2</c:v>
                </c:pt>
                <c:pt idx="6">
                  <c:v>4.9050000000000003E-2</c:v>
                </c:pt>
                <c:pt idx="7">
                  <c:v>5.8860000000000003E-2</c:v>
                </c:pt>
              </c:numCache>
            </c:numRef>
          </c:xVal>
          <c:yVal>
            <c:numRef>
              <c:f>Rotokennlinie!E10:E17</c:f>
              <c:numCache>
                <c:formatCode>General</c:formatCode>
                <c:ptCount val="8"/>
                <c:pt idx="0">
                  <c:v>2.4378727634194831E-2</c:v>
                </c:pt>
                <c:pt idx="1">
                  <c:v>4.6404919583727534E-2</c:v>
                </c:pt>
                <c:pt idx="2">
                  <c:v>6.6825613079019075E-2</c:v>
                </c:pt>
                <c:pt idx="3">
                  <c:v>7.9951100244498793E-2</c:v>
                </c:pt>
                <c:pt idx="4">
                  <c:v>9.5366169799092682E-2</c:v>
                </c:pt>
                <c:pt idx="5">
                  <c:v>8.6241758241758254E-2</c:v>
                </c:pt>
                <c:pt idx="6">
                  <c:v>3.8744075829383891E-2</c:v>
                </c:pt>
                <c:pt idx="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0DF-4E2A-8186-A2A879C23E47}"/>
            </c:ext>
          </c:extLst>
        </c:ser>
        <c:ser>
          <c:idx val="2"/>
          <c:order val="2"/>
          <c:tx>
            <c:v>Anstellwinkel 60°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name>Anstellwinkel 60°</c:name>
            <c:spPr>
              <a:ln w="28575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forward val="0.1"/>
            <c:backward val="0.1"/>
            <c:dispRSqr val="0"/>
            <c:dispEq val="0"/>
          </c:trendline>
          <c:xVal>
            <c:numRef>
              <c:f>Rotokennlinie!D18:D25</c:f>
              <c:numCache>
                <c:formatCode>General</c:formatCode>
                <c:ptCount val="8"/>
                <c:pt idx="0">
                  <c:v>4.9050000000000005E-3</c:v>
                </c:pt>
                <c:pt idx="1">
                  <c:v>9.810000000000001E-3</c:v>
                </c:pt>
                <c:pt idx="2">
                  <c:v>1.4715000000000001E-2</c:v>
                </c:pt>
                <c:pt idx="3">
                  <c:v>1.9620000000000002E-2</c:v>
                </c:pt>
                <c:pt idx="4">
                  <c:v>2.9430000000000001E-2</c:v>
                </c:pt>
                <c:pt idx="5">
                  <c:v>3.9240000000000004E-2</c:v>
                </c:pt>
                <c:pt idx="6">
                  <c:v>4.9050000000000003E-2</c:v>
                </c:pt>
                <c:pt idx="7">
                  <c:v>5.8860000000000003E-2</c:v>
                </c:pt>
              </c:numCache>
            </c:numRef>
          </c:xVal>
          <c:yVal>
            <c:numRef>
              <c:f>Rotokennlinie!E18:E25</c:f>
              <c:numCache>
                <c:formatCode>General</c:formatCode>
                <c:ptCount val="8"/>
                <c:pt idx="0">
                  <c:v>1.1700858778625955E-2</c:v>
                </c:pt>
                <c:pt idx="1">
                  <c:v>2.0678752107925805E-2</c:v>
                </c:pt>
                <c:pt idx="2">
                  <c:v>2.9289410828025476E-2</c:v>
                </c:pt>
                <c:pt idx="3">
                  <c:v>3.3595890410958909E-2</c:v>
                </c:pt>
                <c:pt idx="4">
                  <c:v>3.5457831325301205E-2</c:v>
                </c:pt>
                <c:pt idx="5">
                  <c:v>3.9861844778545312E-2</c:v>
                </c:pt>
                <c:pt idx="6">
                  <c:v>#N/A</c:v>
                </c:pt>
                <c:pt idx="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0DF-4E2A-8186-A2A879C23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4811375"/>
        <c:axId val="2133912463"/>
      </c:scatterChart>
      <c:valAx>
        <c:axId val="2084811375"/>
        <c:scaling>
          <c:orientation val="minMax"/>
          <c:max val="0.0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Dremoment</a:t>
                </a:r>
                <a:r>
                  <a:rPr lang="de-DE" baseline="0"/>
                  <a:t> (Newtonmeter)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33912463"/>
        <c:crosses val="autoZero"/>
        <c:crossBetween val="midCat"/>
      </c:valAx>
      <c:valAx>
        <c:axId val="2133912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Lestung (Watt)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84811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Pumpenkennlinie P(M), Lochplattenabstand 0,5 mm max, Exzenterabstand 0,02m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Messungen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Kennlinie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1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'Pumpenkennlinie 1'!E2:E7</c:f>
              <c:numCache>
                <c:formatCode>General</c:formatCode>
                <c:ptCount val="6"/>
                <c:pt idx="0">
                  <c:v>1.1036249999999999E-2</c:v>
                </c:pt>
                <c:pt idx="1">
                  <c:v>2.2072499999999998E-2</c:v>
                </c:pt>
                <c:pt idx="2">
                  <c:v>3.3108750000000006E-2</c:v>
                </c:pt>
                <c:pt idx="3">
                  <c:v>4.4144999999999997E-2</c:v>
                </c:pt>
                <c:pt idx="4">
                  <c:v>5.5181250000000001E-2</c:v>
                </c:pt>
                <c:pt idx="5">
                  <c:v>6.6217500000000012E-2</c:v>
                </c:pt>
              </c:numCache>
            </c:numRef>
          </c:xVal>
          <c:yVal>
            <c:numRef>
              <c:f>'Pumpenkennlinie 1'!D2:D7</c:f>
              <c:numCache>
                <c:formatCode>General</c:formatCode>
                <c:ptCount val="6"/>
                <c:pt idx="0">
                  <c:v>#N/A</c:v>
                </c:pt>
                <c:pt idx="1">
                  <c:v>1.1900655737704919E-2</c:v>
                </c:pt>
                <c:pt idx="2">
                  <c:v>1.9103684210526321E-2</c:v>
                </c:pt>
                <c:pt idx="3">
                  <c:v>2.8608472906403944E-2</c:v>
                </c:pt>
                <c:pt idx="4">
                  <c:v>2.7920769230769232E-2</c:v>
                </c:pt>
                <c:pt idx="5">
                  <c:v>1.6846708860759493E-2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F5-485D-835A-71FA12809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632"/>
        <c:axId val="1623048"/>
      </c:scatterChart>
      <c:valAx>
        <c:axId val="1562632"/>
        <c:scaling>
          <c:orientation val="minMax"/>
          <c:max val="0.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3048"/>
        <c:crosses val="autoZero"/>
        <c:crossBetween val="midCat"/>
      </c:valAx>
      <c:valAx>
        <c:axId val="16230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62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Pumpenkennlinie P(M) ohne max. Lochplattenabstand, Exzenterabstand 0,02m</a:t>
            </a:r>
          </a:p>
        </c:rich>
      </c:tx>
      <c:layout>
        <c:manualLayout>
          <c:xMode val="edge"/>
          <c:yMode val="edge"/>
          <c:x val="0.1307568227879748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Messungen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Kennlinie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1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'Pumpenkennlinie 2'!E2:E7</c:f>
              <c:numCache>
                <c:formatCode>General</c:formatCode>
                <c:ptCount val="6"/>
                <c:pt idx="0">
                  <c:v>1.1036249999999999E-2</c:v>
                </c:pt>
                <c:pt idx="1">
                  <c:v>2.2072499999999998E-2</c:v>
                </c:pt>
                <c:pt idx="2">
                  <c:v>3.3108750000000006E-2</c:v>
                </c:pt>
                <c:pt idx="3">
                  <c:v>4.4144999999999997E-2</c:v>
                </c:pt>
                <c:pt idx="4">
                  <c:v>5.5181250000000001E-2</c:v>
                </c:pt>
                <c:pt idx="5">
                  <c:v>6.6217500000000012E-2</c:v>
                </c:pt>
              </c:numCache>
            </c:numRef>
          </c:xVal>
          <c:yVal>
            <c:numRef>
              <c:f>'Pumpenkennlinie 2'!D2:D7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1.1486392405063292E-2</c:v>
                </c:pt>
                <c:pt idx="4">
                  <c:v>#N/A</c:v>
                </c:pt>
                <c:pt idx="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4AF-45E4-8101-666061D14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632"/>
        <c:axId val="1623048"/>
      </c:scatterChart>
      <c:valAx>
        <c:axId val="1562632"/>
        <c:scaling>
          <c:orientation val="minMax"/>
          <c:max val="0.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3048"/>
        <c:crosses val="autoZero"/>
        <c:crossBetween val="midCat"/>
      </c:valAx>
      <c:valAx>
        <c:axId val="16230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62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Pumpenkennlinie P(M), Lochplattenabstand max 2 mm, Exzenterabstand 0,02m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Messungen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Kennlinie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0.2"/>
            <c:backward val="0.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'Pumpenkennlinie 3'!E2:E7</c:f>
              <c:numCache>
                <c:formatCode>General</c:formatCode>
                <c:ptCount val="6"/>
                <c:pt idx="0">
                  <c:v>3.3108750000000006E-2</c:v>
                </c:pt>
                <c:pt idx="1">
                  <c:v>3.8626875000000005E-2</c:v>
                </c:pt>
                <c:pt idx="2">
                  <c:v>4.4144999999999997E-2</c:v>
                </c:pt>
                <c:pt idx="3">
                  <c:v>4.9663125000000002E-2</c:v>
                </c:pt>
                <c:pt idx="4">
                  <c:v>5.5181250000000001E-2</c:v>
                </c:pt>
                <c:pt idx="5">
                  <c:v>6.6217500000000012E-2</c:v>
                </c:pt>
              </c:numCache>
            </c:numRef>
          </c:xVal>
          <c:yVal>
            <c:numRef>
              <c:f>'Pumpenkennlinie 3'!D2:D7</c:f>
              <c:numCache>
                <c:formatCode>General</c:formatCode>
                <c:ptCount val="6"/>
                <c:pt idx="0">
                  <c:v>5.6714062500000011E-3</c:v>
                </c:pt>
                <c:pt idx="1">
                  <c:v>1.7850983606557375E-2</c:v>
                </c:pt>
                <c:pt idx="2">
                  <c:v>2.9004452054794527E-2</c:v>
                </c:pt>
                <c:pt idx="3">
                  <c:v>2.8191844660194174E-2</c:v>
                </c:pt>
                <c:pt idx="4">
                  <c:v>2.0980924855491332E-2</c:v>
                </c:pt>
                <c:pt idx="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60-4B47-8B37-90B51CC5C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632"/>
        <c:axId val="1623048"/>
      </c:scatterChart>
      <c:valAx>
        <c:axId val="1562632"/>
        <c:scaling>
          <c:orientation val="minMax"/>
          <c:max val="0.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3048"/>
        <c:crosses val="autoZero"/>
        <c:crossBetween val="midCat"/>
      </c:valAx>
      <c:valAx>
        <c:axId val="16230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62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Pumpenkennlinie P(M), Lochplattenabstand max 2 mm, Exzenterabsand 0,0125 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0.2"/>
            <c:backward val="0.2"/>
            <c:dispRSqr val="0"/>
            <c:dispEq val="0"/>
          </c:trendline>
          <c:xVal>
            <c:numRef>
              <c:f>'Pumpenkennlinie final'!E2:E6</c:f>
              <c:numCache>
                <c:formatCode>General</c:formatCode>
                <c:ptCount val="5"/>
                <c:pt idx="0">
                  <c:v>3.3108750000000006E-2</c:v>
                </c:pt>
                <c:pt idx="1">
                  <c:v>4.4144999999999997E-2</c:v>
                </c:pt>
                <c:pt idx="2">
                  <c:v>5.5181250000000001E-2</c:v>
                </c:pt>
                <c:pt idx="3">
                  <c:v>6.6217500000000012E-2</c:v>
                </c:pt>
                <c:pt idx="4">
                  <c:v>7.725375000000001E-2</c:v>
                </c:pt>
              </c:numCache>
            </c:numRef>
          </c:xVal>
          <c:yVal>
            <c:numRef>
              <c:f>'Pumpenkennlinie final'!D2:D6</c:f>
              <c:numCache>
                <c:formatCode>General</c:formatCode>
                <c:ptCount val="5"/>
                <c:pt idx="0">
                  <c:v>1.5360799373040756E-2</c:v>
                </c:pt>
                <c:pt idx="1">
                  <c:v>2.8246692607003895E-2</c:v>
                </c:pt>
                <c:pt idx="2">
                  <c:v>3.2076418604651165E-2</c:v>
                </c:pt>
                <c:pt idx="3">
                  <c:v>2.5803554502369666E-2</c:v>
                </c:pt>
                <c:pt idx="4">
                  <c:v>1.8058208955223885E-2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64-4A35-8BD4-E81254335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632"/>
        <c:axId val="1623048"/>
      </c:scatterChart>
      <c:valAx>
        <c:axId val="1562632"/>
        <c:scaling>
          <c:orientation val="minMax"/>
          <c:max val="0.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3048"/>
        <c:crosses val="autoZero"/>
        <c:crossBetween val="midCat"/>
      </c:valAx>
      <c:valAx>
        <c:axId val="16230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62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Rotorkennlinie P(M)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Anstellwinkel 45°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name>Anstellwinkel 45°</c:nam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forward val="0.1"/>
            <c:backward val="0.1"/>
            <c:dispRSqr val="0"/>
            <c:dispEq val="0"/>
          </c:trendline>
          <c:xVal>
            <c:numRef>
              <c:f>'Rotokennlinie für Plakat'!D10:D17</c:f>
              <c:numCache>
                <c:formatCode>General</c:formatCode>
                <c:ptCount val="8"/>
                <c:pt idx="0">
                  <c:v>4.9050000000000005E-3</c:v>
                </c:pt>
                <c:pt idx="1">
                  <c:v>9.810000000000001E-3</c:v>
                </c:pt>
                <c:pt idx="2">
                  <c:v>1.4715000000000001E-2</c:v>
                </c:pt>
                <c:pt idx="3">
                  <c:v>1.9620000000000002E-2</c:v>
                </c:pt>
                <c:pt idx="4">
                  <c:v>2.9430000000000001E-2</c:v>
                </c:pt>
                <c:pt idx="5">
                  <c:v>3.9240000000000004E-2</c:v>
                </c:pt>
                <c:pt idx="6">
                  <c:v>4.9050000000000003E-2</c:v>
                </c:pt>
                <c:pt idx="7">
                  <c:v>5.8860000000000003E-2</c:v>
                </c:pt>
              </c:numCache>
            </c:numRef>
          </c:xVal>
          <c:yVal>
            <c:numRef>
              <c:f>'Rotokennlinie für Plakat'!E10:E17</c:f>
              <c:numCache>
                <c:formatCode>General</c:formatCode>
                <c:ptCount val="8"/>
                <c:pt idx="0">
                  <c:v>2.4378727634194831E-2</c:v>
                </c:pt>
                <c:pt idx="1">
                  <c:v>4.6404919583727534E-2</c:v>
                </c:pt>
                <c:pt idx="2">
                  <c:v>6.6825613079019075E-2</c:v>
                </c:pt>
                <c:pt idx="3">
                  <c:v>7.9951100244498793E-2</c:v>
                </c:pt>
                <c:pt idx="4">
                  <c:v>9.5366169799092682E-2</c:v>
                </c:pt>
                <c:pt idx="5">
                  <c:v>8.6241758241758254E-2</c:v>
                </c:pt>
                <c:pt idx="6">
                  <c:v>3.8744075829383891E-2</c:v>
                </c:pt>
                <c:pt idx="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47-4DAE-BAAC-DA3017306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4811375"/>
        <c:axId val="2133912463"/>
      </c:scatterChart>
      <c:valAx>
        <c:axId val="2084811375"/>
        <c:scaling>
          <c:orientation val="minMax"/>
          <c:max val="0.0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Dremoment</a:t>
                </a:r>
                <a:r>
                  <a:rPr lang="de-DE" baseline="0"/>
                  <a:t> (Newtonmeter)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33912463"/>
        <c:crosses val="autoZero"/>
        <c:crossBetween val="midCat"/>
      </c:valAx>
      <c:valAx>
        <c:axId val="2133912463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Lestung (Watt)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8481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Pumpenkennlinie P(M), Lochplattenabstand max 2 mm, Exzenterabsand 0,0125 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0.2"/>
            <c:backward val="0.2"/>
            <c:dispRSqr val="0"/>
            <c:dispEq val="0"/>
          </c:trendline>
          <c:xVal>
            <c:numRef>
              <c:f>'Pumpenkennlinie für Plakat'!E2:E6</c:f>
              <c:numCache>
                <c:formatCode>General</c:formatCode>
                <c:ptCount val="5"/>
                <c:pt idx="0">
                  <c:v>3.3108750000000006E-2</c:v>
                </c:pt>
                <c:pt idx="1">
                  <c:v>4.4144999999999997E-2</c:v>
                </c:pt>
                <c:pt idx="2">
                  <c:v>5.5181250000000001E-2</c:v>
                </c:pt>
                <c:pt idx="3">
                  <c:v>6.6217500000000012E-2</c:v>
                </c:pt>
                <c:pt idx="4">
                  <c:v>7.725375000000001E-2</c:v>
                </c:pt>
              </c:numCache>
            </c:numRef>
          </c:xVal>
          <c:yVal>
            <c:numRef>
              <c:f>'Pumpenkennlinie für Plakat'!D2:D6</c:f>
              <c:numCache>
                <c:formatCode>General</c:formatCode>
                <c:ptCount val="5"/>
                <c:pt idx="0">
                  <c:v>1.5360799373040756E-2</c:v>
                </c:pt>
                <c:pt idx="1">
                  <c:v>2.8246692607003895E-2</c:v>
                </c:pt>
                <c:pt idx="2">
                  <c:v>3.2076418604651165E-2</c:v>
                </c:pt>
                <c:pt idx="3">
                  <c:v>2.5803554502369666E-2</c:v>
                </c:pt>
                <c:pt idx="4">
                  <c:v>1.8058208955223885E-2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D5-40FA-9722-0C8B0563C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632"/>
        <c:axId val="1623048"/>
      </c:scatterChart>
      <c:valAx>
        <c:axId val="1562632"/>
        <c:scaling>
          <c:orientation val="minMax"/>
          <c:max val="0.09"/>
          <c:min val="0.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3048"/>
        <c:crosses val="autoZero"/>
        <c:crossBetween val="midCat"/>
      </c:valAx>
      <c:valAx>
        <c:axId val="16230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62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</xdr:colOff>
      <xdr:row>3</xdr:row>
      <xdr:rowOff>44450</xdr:rowOff>
    </xdr:from>
    <xdr:to>
      <xdr:col>12</xdr:col>
      <xdr:colOff>641350</xdr:colOff>
      <xdr:row>22</xdr:row>
      <xdr:rowOff>57150</xdr:rowOff>
    </xdr:to>
    <xdr:graphicFrame macro="">
      <xdr:nvGraphicFramePr>
        <xdr:cNvPr id="2" name="Diagramm 3">
          <a:extLst>
            <a:ext uri="{FF2B5EF4-FFF2-40B4-BE49-F238E27FC236}">
              <a16:creationId xmlns:a16="http://schemas.microsoft.com/office/drawing/2014/main" id="{0EA402D0-9D17-49F8-B3D4-97F3301F2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4</xdr:row>
      <xdr:rowOff>47625</xdr:rowOff>
    </xdr:from>
    <xdr:to>
      <xdr:col>9</xdr:col>
      <xdr:colOff>695325</xdr:colOff>
      <xdr:row>18</xdr:row>
      <xdr:rowOff>123825</xdr:rowOff>
    </xdr:to>
    <xdr:graphicFrame macro="">
      <xdr:nvGraphicFramePr>
        <xdr:cNvPr id="2" name="Diagramm 2">
          <a:extLst>
            <a:ext uri="{FF2B5EF4-FFF2-40B4-BE49-F238E27FC236}">
              <a16:creationId xmlns:a16="http://schemas.microsoft.com/office/drawing/2014/main" id="{A67BE4AC-A88A-4C58-BAB1-FBDE028DA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4</xdr:row>
      <xdr:rowOff>38100</xdr:rowOff>
    </xdr:from>
    <xdr:to>
      <xdr:col>10</xdr:col>
      <xdr:colOff>9525</xdr:colOff>
      <xdr:row>18</xdr:row>
      <xdr:rowOff>114300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6819D95D-36B6-0284-373A-FFC76B702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4</xdr:row>
      <xdr:rowOff>47625</xdr:rowOff>
    </xdr:from>
    <xdr:to>
      <xdr:col>9</xdr:col>
      <xdr:colOff>695325</xdr:colOff>
      <xdr:row>18</xdr:row>
      <xdr:rowOff>123825</xdr:rowOff>
    </xdr:to>
    <xdr:graphicFrame macro="">
      <xdr:nvGraphicFramePr>
        <xdr:cNvPr id="2" name="Diagramm 2">
          <a:extLst>
            <a:ext uri="{FF2B5EF4-FFF2-40B4-BE49-F238E27FC236}">
              <a16:creationId xmlns:a16="http://schemas.microsoft.com/office/drawing/2014/main" id="{57305938-A80E-43F0-8DCE-520E23231C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4</xdr:row>
      <xdr:rowOff>47625</xdr:rowOff>
    </xdr:from>
    <xdr:to>
      <xdr:col>9</xdr:col>
      <xdr:colOff>695325</xdr:colOff>
      <xdr:row>18</xdr:row>
      <xdr:rowOff>123825</xdr:rowOff>
    </xdr:to>
    <xdr:graphicFrame macro="">
      <xdr:nvGraphicFramePr>
        <xdr:cNvPr id="2" name="Diagramm 2">
          <a:extLst>
            <a:ext uri="{FF2B5EF4-FFF2-40B4-BE49-F238E27FC236}">
              <a16:creationId xmlns:a16="http://schemas.microsoft.com/office/drawing/2014/main" id="{8783547B-D346-420F-8091-E2DF0C002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3</xdr:row>
      <xdr:rowOff>47625</xdr:rowOff>
    </xdr:from>
    <xdr:to>
      <xdr:col>10</xdr:col>
      <xdr:colOff>76200</xdr:colOff>
      <xdr:row>19</xdr:row>
      <xdr:rowOff>19050</xdr:rowOff>
    </xdr:to>
    <xdr:graphicFrame macro="">
      <xdr:nvGraphicFramePr>
        <xdr:cNvPr id="2" name="Diagramm 3">
          <a:extLst>
            <a:ext uri="{FF2B5EF4-FFF2-40B4-BE49-F238E27FC236}">
              <a16:creationId xmlns:a16="http://schemas.microsoft.com/office/drawing/2014/main" id="{705FDFC8-9FC3-42B2-BF1A-22DE893E79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4</xdr:row>
      <xdr:rowOff>47625</xdr:rowOff>
    </xdr:from>
    <xdr:to>
      <xdr:col>8</xdr:col>
      <xdr:colOff>323850</xdr:colOff>
      <xdr:row>18</xdr:row>
      <xdr:rowOff>123825</xdr:rowOff>
    </xdr:to>
    <xdr:graphicFrame macro="">
      <xdr:nvGraphicFramePr>
        <xdr:cNvPr id="2" name="Diagramm 2">
          <a:extLst>
            <a:ext uri="{FF2B5EF4-FFF2-40B4-BE49-F238E27FC236}">
              <a16:creationId xmlns:a16="http://schemas.microsoft.com/office/drawing/2014/main" id="{3F9B0C18-618D-4C67-AF6B-A2ADF01A1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FF8C-7377-49AD-BF80-C0E1DC8784E7}">
  <dimension ref="A1:K25"/>
  <sheetViews>
    <sheetView workbookViewId="0">
      <selection activeCell="K3" sqref="K3"/>
    </sheetView>
  </sheetViews>
  <sheetFormatPr defaultColWidth="11.42578125" defaultRowHeight="15" customHeight="1"/>
  <cols>
    <col min="1" max="1" width="13.140625" customWidth="1"/>
    <col min="2" max="2" width="8.5703125" customWidth="1"/>
    <col min="3" max="3" width="15.42578125" customWidth="1"/>
    <col min="4" max="4" width="14.7109375" customWidth="1"/>
    <col min="5" max="5" width="16.7109375" customWidth="1"/>
    <col min="6" max="6" width="21.42578125" customWidth="1"/>
    <col min="7" max="7" width="6.42578125" customWidth="1"/>
  </cols>
  <sheetData>
    <row r="1" spans="1:11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>
        <v>0.5</v>
      </c>
    </row>
    <row r="2" spans="1:11">
      <c r="A2" s="1">
        <v>30</v>
      </c>
      <c r="B2">
        <v>0.05</v>
      </c>
      <c r="C2">
        <v>9.93</v>
      </c>
      <c r="D2" s="1">
        <f t="shared" ref="D2:D9" si="0">$G$2*$B2*$G$3</f>
        <v>4.9050000000000005E-3</v>
      </c>
      <c r="E2" s="1">
        <f>IF($B2*$G$1*$G$2/$C2&gt;0, $B2*$G$1*$G$2/$C2, NA())</f>
        <v>2.4697885196374624E-2</v>
      </c>
      <c r="F2" s="1" t="s">
        <v>6</v>
      </c>
      <c r="G2" s="1">
        <v>9.81</v>
      </c>
      <c r="J2" t="s">
        <v>7</v>
      </c>
      <c r="K2">
        <v>2.9430000000000001E-2</v>
      </c>
    </row>
    <row r="3" spans="1:11">
      <c r="B3" s="1">
        <v>0.1</v>
      </c>
      <c r="C3">
        <v>10.119999999999999</v>
      </c>
      <c r="D3" s="1">
        <f t="shared" si="0"/>
        <v>9.810000000000001E-3</v>
      </c>
      <c r="E3" s="1">
        <f t="shared" ref="E3:E25" si="1">IF($B3*$G$1*$G$2/$C3&gt;0, $B3*$G$1*$G$2/$C3, NA())</f>
        <v>4.8468379446640328E-2</v>
      </c>
      <c r="F3" s="1" t="s">
        <v>8</v>
      </c>
      <c r="G3" s="1">
        <v>0.01</v>
      </c>
    </row>
    <row r="4" spans="1:11">
      <c r="B4">
        <v>0.15</v>
      </c>
      <c r="C4" s="1">
        <v>11.23</v>
      </c>
      <c r="D4" s="1">
        <f t="shared" si="0"/>
        <v>1.4715000000000001E-2</v>
      </c>
      <c r="E4" s="1">
        <f t="shared" si="1"/>
        <v>6.5516473731077468E-2</v>
      </c>
      <c r="F4" s="1"/>
      <c r="G4" s="1"/>
    </row>
    <row r="5" spans="1:11">
      <c r="A5" s="1"/>
      <c r="B5" s="1">
        <v>0.2</v>
      </c>
      <c r="C5" s="1">
        <v>13.73</v>
      </c>
      <c r="D5" s="1">
        <f t="shared" si="0"/>
        <v>1.9620000000000002E-2</v>
      </c>
      <c r="E5" s="1">
        <f t="shared" si="1"/>
        <v>7.144938091769848E-2</v>
      </c>
    </row>
    <row r="6" spans="1:11">
      <c r="B6" s="1">
        <v>0.3</v>
      </c>
      <c r="C6" s="1">
        <v>16.39</v>
      </c>
      <c r="D6" s="1">
        <f>$G$2*$B6*$G$3</f>
        <v>2.9430000000000001E-2</v>
      </c>
      <c r="E6" s="1">
        <f t="shared" si="1"/>
        <v>8.9780353874313601E-2</v>
      </c>
    </row>
    <row r="7" spans="1:11">
      <c r="B7">
        <v>0.4</v>
      </c>
      <c r="C7">
        <v>24.07</v>
      </c>
      <c r="D7" s="1">
        <f t="shared" si="0"/>
        <v>3.9240000000000004E-2</v>
      </c>
      <c r="E7" s="1">
        <f t="shared" si="1"/>
        <v>8.151225592023266E-2</v>
      </c>
    </row>
    <row r="8" spans="1:11">
      <c r="B8">
        <v>0.5</v>
      </c>
      <c r="C8" t="e">
        <f>NA()</f>
        <v>#N/A</v>
      </c>
      <c r="D8" s="1">
        <f t="shared" si="0"/>
        <v>4.9050000000000003E-2</v>
      </c>
      <c r="E8" s="1" t="e">
        <f t="shared" si="1"/>
        <v>#N/A</v>
      </c>
    </row>
    <row r="9" spans="1:11">
      <c r="B9">
        <v>0.6</v>
      </c>
      <c r="C9" t="e">
        <f>NA()</f>
        <v>#N/A</v>
      </c>
      <c r="D9" s="1">
        <f t="shared" si="0"/>
        <v>5.8860000000000003E-2</v>
      </c>
      <c r="E9" s="1" t="e">
        <f t="shared" si="1"/>
        <v>#N/A</v>
      </c>
    </row>
    <row r="10" spans="1:11">
      <c r="A10" s="1">
        <v>45</v>
      </c>
      <c r="B10" s="1">
        <f>$B2</f>
        <v>0.05</v>
      </c>
      <c r="C10" s="1">
        <v>10.06</v>
      </c>
      <c r="D10" s="1">
        <f>$G$2*$B10*$G$3</f>
        <v>4.9050000000000005E-3</v>
      </c>
      <c r="E10" s="1">
        <f t="shared" si="1"/>
        <v>2.4378727634194831E-2</v>
      </c>
    </row>
    <row r="11" spans="1:11">
      <c r="A11" s="1"/>
      <c r="B11" s="1">
        <f>$B3</f>
        <v>0.1</v>
      </c>
      <c r="C11" s="1">
        <v>10.57</v>
      </c>
      <c r="D11" s="1">
        <f>$G$2*$B11*$G$3</f>
        <v>9.810000000000001E-3</v>
      </c>
      <c r="E11" s="1">
        <f t="shared" si="1"/>
        <v>4.6404919583727534E-2</v>
      </c>
      <c r="F11" s="1"/>
      <c r="G11" s="1"/>
    </row>
    <row r="12" spans="1:11">
      <c r="A12" s="1"/>
      <c r="B12" s="1">
        <f>$B4</f>
        <v>0.15</v>
      </c>
      <c r="C12" s="1">
        <v>11.01</v>
      </c>
      <c r="D12" s="1">
        <f>$G$2*$B12*$G$3</f>
        <v>1.4715000000000001E-2</v>
      </c>
      <c r="E12" s="1">
        <f t="shared" si="1"/>
        <v>6.6825613079019075E-2</v>
      </c>
      <c r="F12" s="1"/>
      <c r="G12" s="1"/>
    </row>
    <row r="13" spans="1:11">
      <c r="A13" s="1"/>
      <c r="B13" s="1">
        <f>$B5</f>
        <v>0.2</v>
      </c>
      <c r="C13" s="1">
        <v>12.27</v>
      </c>
      <c r="D13" s="1">
        <f>$G$2*$B13*$G$3</f>
        <v>1.9620000000000002E-2</v>
      </c>
      <c r="E13" s="1">
        <f t="shared" si="1"/>
        <v>7.9951100244498793E-2</v>
      </c>
      <c r="F13" s="1"/>
      <c r="G13" s="1"/>
    </row>
    <row r="14" spans="1:11" ht="15" customHeight="1">
      <c r="A14" s="1"/>
      <c r="B14" s="1">
        <f>$B6</f>
        <v>0.3</v>
      </c>
      <c r="C14" s="1">
        <v>15.43</v>
      </c>
      <c r="D14" s="1">
        <f>$G$2*$B14*$G$3</f>
        <v>2.9430000000000001E-2</v>
      </c>
      <c r="E14" s="1">
        <f t="shared" si="1"/>
        <v>9.5366169799092682E-2</v>
      </c>
    </row>
    <row r="15" spans="1:11" ht="15" customHeight="1">
      <c r="B15" s="1">
        <f t="shared" ref="B15:B17" si="2">$B7</f>
        <v>0.4</v>
      </c>
      <c r="C15">
        <v>22.75</v>
      </c>
      <c r="D15" s="1">
        <f t="shared" ref="D15:D17" si="3">$G$2*$B15*$G$3</f>
        <v>3.9240000000000004E-2</v>
      </c>
      <c r="E15" s="1">
        <f t="shared" si="1"/>
        <v>8.6241758241758254E-2</v>
      </c>
    </row>
    <row r="16" spans="1:11" ht="15" customHeight="1">
      <c r="B16" s="1">
        <f t="shared" si="2"/>
        <v>0.5</v>
      </c>
      <c r="C16">
        <v>63.3</v>
      </c>
      <c r="D16" s="1">
        <f t="shared" si="3"/>
        <v>4.9050000000000003E-2</v>
      </c>
      <c r="E16" s="1">
        <f t="shared" si="1"/>
        <v>3.8744075829383891E-2</v>
      </c>
    </row>
    <row r="17" spans="1:5" ht="15" customHeight="1">
      <c r="B17" s="1">
        <f t="shared" si="2"/>
        <v>0.6</v>
      </c>
      <c r="C17" t="e">
        <f>NA()</f>
        <v>#N/A</v>
      </c>
      <c r="D17" s="1">
        <f t="shared" si="3"/>
        <v>5.8860000000000003E-2</v>
      </c>
      <c r="E17" s="1" t="e">
        <f t="shared" si="1"/>
        <v>#N/A</v>
      </c>
    </row>
    <row r="18" spans="1:5" ht="15" customHeight="1">
      <c r="A18" s="1">
        <v>60</v>
      </c>
      <c r="B18" s="1">
        <f>$B10</f>
        <v>0.05</v>
      </c>
      <c r="C18">
        <v>20.96</v>
      </c>
      <c r="D18" s="1">
        <f>$G$2*$B18*$G$3</f>
        <v>4.9050000000000005E-3</v>
      </c>
      <c r="E18" s="1">
        <f t="shared" si="1"/>
        <v>1.1700858778625955E-2</v>
      </c>
    </row>
    <row r="19" spans="1:5" ht="15" customHeight="1">
      <c r="A19" s="1"/>
      <c r="B19" s="1">
        <f>$B11</f>
        <v>0.1</v>
      </c>
      <c r="C19">
        <v>23.72</v>
      </c>
      <c r="D19" s="1">
        <f>$G$2*$B19*$G$3</f>
        <v>9.810000000000001E-3</v>
      </c>
      <c r="E19" s="1">
        <f t="shared" si="1"/>
        <v>2.0678752107925805E-2</v>
      </c>
    </row>
    <row r="20" spans="1:5" ht="15" customHeight="1">
      <c r="B20" s="1">
        <f>$B12</f>
        <v>0.15</v>
      </c>
      <c r="C20">
        <v>25.12</v>
      </c>
      <c r="D20" s="1">
        <f>$G$2*$B20*$G$3</f>
        <v>1.4715000000000001E-2</v>
      </c>
      <c r="E20" s="1">
        <f t="shared" si="1"/>
        <v>2.9289410828025476E-2</v>
      </c>
    </row>
    <row r="21" spans="1:5" ht="15" customHeight="1">
      <c r="B21" s="1">
        <f>$B13</f>
        <v>0.2</v>
      </c>
      <c r="C21">
        <v>29.2</v>
      </c>
      <c r="D21" s="1">
        <f>$G$2*$B21*$G$3</f>
        <v>1.9620000000000002E-2</v>
      </c>
      <c r="E21" s="1">
        <f t="shared" si="1"/>
        <v>3.3595890410958909E-2</v>
      </c>
    </row>
    <row r="22" spans="1:5" ht="15" customHeight="1">
      <c r="B22" s="1">
        <f>$B14</f>
        <v>0.3</v>
      </c>
      <c r="C22">
        <v>41.5</v>
      </c>
      <c r="D22" s="1">
        <f>$G$2*$B22*$G$3</f>
        <v>2.9430000000000001E-2</v>
      </c>
      <c r="E22" s="1">
        <f t="shared" si="1"/>
        <v>3.5457831325301205E-2</v>
      </c>
    </row>
    <row r="23" spans="1:5" ht="15" customHeight="1">
      <c r="B23" s="1">
        <f t="shared" ref="B23:B25" si="4">$B15</f>
        <v>0.4</v>
      </c>
      <c r="C23">
        <v>49.22</v>
      </c>
      <c r="D23" s="1">
        <f t="shared" ref="D23:D25" si="5">$G$2*$B23*$G$3</f>
        <v>3.9240000000000004E-2</v>
      </c>
      <c r="E23" s="1">
        <f t="shared" si="1"/>
        <v>3.9861844778545312E-2</v>
      </c>
    </row>
    <row r="24" spans="1:5" ht="15" customHeight="1">
      <c r="B24" s="1">
        <f t="shared" si="4"/>
        <v>0.5</v>
      </c>
      <c r="C24" t="e">
        <f>NA()</f>
        <v>#N/A</v>
      </c>
      <c r="D24" s="1">
        <f t="shared" si="5"/>
        <v>4.9050000000000003E-2</v>
      </c>
      <c r="E24" s="1" t="e">
        <f t="shared" si="1"/>
        <v>#N/A</v>
      </c>
    </row>
    <row r="25" spans="1:5" ht="15" customHeight="1">
      <c r="B25" s="1">
        <f t="shared" si="4"/>
        <v>0.6</v>
      </c>
      <c r="C25" t="e">
        <f>NA()</f>
        <v>#N/A</v>
      </c>
      <c r="D25" s="1">
        <f t="shared" si="5"/>
        <v>5.8860000000000003E-2</v>
      </c>
      <c r="E25" s="1" t="e">
        <f t="shared" si="1"/>
        <v>#N/A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6834F-67B1-4389-AA50-A5EFC2E942B1}">
  <dimension ref="A1:G10"/>
  <sheetViews>
    <sheetView workbookViewId="0">
      <selection activeCell="E17" sqref="E17"/>
    </sheetView>
  </sheetViews>
  <sheetFormatPr defaultColWidth="11.42578125" defaultRowHeight="15" customHeight="1"/>
  <cols>
    <col min="1" max="2" width="13.140625" customWidth="1"/>
    <col min="3" max="3" width="16" customWidth="1"/>
    <col min="4" max="4" width="20.85546875" customWidth="1"/>
    <col min="5" max="5" width="17.140625" customWidth="1"/>
    <col min="6" max="6" width="24.5703125" customWidth="1"/>
  </cols>
  <sheetData>
    <row r="1" spans="1:7" ht="14.45">
      <c r="A1" t="s">
        <v>9</v>
      </c>
      <c r="B1" t="s">
        <v>10</v>
      </c>
      <c r="C1" t="s">
        <v>11</v>
      </c>
      <c r="D1" t="s">
        <v>12</v>
      </c>
      <c r="E1" t="s">
        <v>13</v>
      </c>
      <c r="F1" s="1" t="s">
        <v>5</v>
      </c>
      <c r="G1" s="1">
        <v>0.185</v>
      </c>
    </row>
    <row r="2" spans="1:7">
      <c r="A2">
        <v>1</v>
      </c>
      <c r="B2">
        <v>30</v>
      </c>
      <c r="C2">
        <v>0</v>
      </c>
      <c r="D2" t="e">
        <f>IF($C2*$G$1*$G$2/$B2, $C2*$G$1*$G$2/$B2, NA())</f>
        <v>#N/A</v>
      </c>
      <c r="E2">
        <f>$G$3*$A2*$G$4*$G$2</f>
        <v>1.1036249999999999E-2</v>
      </c>
      <c r="F2" s="1" t="s">
        <v>6</v>
      </c>
      <c r="G2" s="1">
        <v>9.81</v>
      </c>
    </row>
    <row r="3" spans="1:7" ht="14.45">
      <c r="A3">
        <v>2</v>
      </c>
      <c r="B3">
        <v>3.05</v>
      </c>
      <c r="C3">
        <v>0.02</v>
      </c>
      <c r="D3">
        <f>IF($C3*$G$1*$G$2/$B3, $C3*$G$1*$G$2/$B3, NA())</f>
        <v>1.1900655737704919E-2</v>
      </c>
      <c r="E3">
        <f t="shared" ref="E3:E7" si="0">$G$3*$A3*$G$4*$G$2</f>
        <v>2.2072499999999998E-2</v>
      </c>
      <c r="F3" t="s">
        <v>14</v>
      </c>
      <c r="G3">
        <v>0.05</v>
      </c>
    </row>
    <row r="4" spans="1:7">
      <c r="A4">
        <v>3</v>
      </c>
      <c r="B4">
        <v>2.2799999999999998</v>
      </c>
      <c r="C4">
        <v>2.4E-2</v>
      </c>
      <c r="D4">
        <f t="shared" ref="D3:D7" si="1">IF($C4*$G$1*$G$2/$B4, $C4*$G$1*$G$2/$B4, NA())</f>
        <v>1.9103684210526321E-2</v>
      </c>
      <c r="E4">
        <f t="shared" si="0"/>
        <v>3.3108750000000006E-2</v>
      </c>
      <c r="F4" t="s">
        <v>15</v>
      </c>
      <c r="G4">
        <v>2.2499999999999999E-2</v>
      </c>
    </row>
    <row r="5" spans="1:7">
      <c r="A5">
        <v>4</v>
      </c>
      <c r="B5">
        <v>2.0299999999999998</v>
      </c>
      <c r="C5">
        <v>3.2000000000000001E-2</v>
      </c>
      <c r="D5">
        <f t="shared" si="1"/>
        <v>2.8608472906403944E-2</v>
      </c>
      <c r="E5">
        <f t="shared" si="0"/>
        <v>4.4144999999999997E-2</v>
      </c>
    </row>
    <row r="6" spans="1:7">
      <c r="A6">
        <v>5</v>
      </c>
      <c r="B6">
        <v>2.6</v>
      </c>
      <c r="C6">
        <v>0.04</v>
      </c>
      <c r="D6">
        <f t="shared" si="1"/>
        <v>2.7920769230769232E-2</v>
      </c>
      <c r="E6">
        <f t="shared" si="0"/>
        <v>5.5181250000000001E-2</v>
      </c>
    </row>
    <row r="7" spans="1:7">
      <c r="A7">
        <v>6</v>
      </c>
      <c r="B7">
        <v>2.37</v>
      </c>
      <c r="C7">
        <v>2.1999999999999999E-2</v>
      </c>
      <c r="D7">
        <f t="shared" si="1"/>
        <v>1.6846708860759493E-2</v>
      </c>
      <c r="E7">
        <f t="shared" si="0"/>
        <v>6.6217500000000012E-2</v>
      </c>
    </row>
    <row r="8" spans="1:7"/>
    <row r="9" spans="1:7">
      <c r="A9" t="s">
        <v>16</v>
      </c>
    </row>
    <row r="10" spans="1:7">
      <c r="A10" t="s">
        <v>17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83E3-A148-40CF-A87E-62E06DBF3B78}">
  <dimension ref="A1:G10"/>
  <sheetViews>
    <sheetView workbookViewId="0">
      <selection activeCell="A10" sqref="A10"/>
    </sheetView>
  </sheetViews>
  <sheetFormatPr defaultColWidth="11.42578125" defaultRowHeight="15" customHeight="1"/>
  <cols>
    <col min="1" max="2" width="13.140625" customWidth="1"/>
    <col min="3" max="3" width="16" customWidth="1"/>
    <col min="4" max="4" width="20.85546875" customWidth="1"/>
    <col min="5" max="5" width="17.140625" customWidth="1"/>
    <col min="6" max="6" width="24.5703125" customWidth="1"/>
  </cols>
  <sheetData>
    <row r="1" spans="1:7" ht="14.45">
      <c r="A1" t="s">
        <v>9</v>
      </c>
      <c r="B1" t="s">
        <v>10</v>
      </c>
      <c r="C1" t="s">
        <v>11</v>
      </c>
      <c r="D1" t="s">
        <v>12</v>
      </c>
      <c r="E1" t="s">
        <v>13</v>
      </c>
      <c r="F1" s="1" t="s">
        <v>5</v>
      </c>
      <c r="G1" s="1">
        <v>0.185</v>
      </c>
    </row>
    <row r="2" spans="1:7">
      <c r="A2">
        <v>1</v>
      </c>
      <c r="B2">
        <v>30</v>
      </c>
      <c r="C2">
        <v>0</v>
      </c>
      <c r="D2" t="e">
        <f>IF($C2*$G$1*$G$2/$B2, $C2*$G$1*$G$2/$B2, NA())</f>
        <v>#N/A</v>
      </c>
      <c r="E2">
        <f>$G$3*$A2*$G$4*$G$2</f>
        <v>1.1036249999999999E-2</v>
      </c>
      <c r="F2" s="1" t="s">
        <v>6</v>
      </c>
      <c r="G2" s="1">
        <v>9.81</v>
      </c>
    </row>
    <row r="3" spans="1:7" ht="14.45">
      <c r="A3">
        <v>2</v>
      </c>
      <c r="B3">
        <v>4.97</v>
      </c>
      <c r="C3">
        <v>0</v>
      </c>
      <c r="D3" t="e">
        <f t="shared" ref="D3:D7" si="0">IF($C3*$G$1*$G$2/$B3, $C3*$G$1*$G$2/$B3, NA())</f>
        <v>#N/A</v>
      </c>
      <c r="E3">
        <f t="shared" ref="E3:E7" si="1">$G$3*$A3*$G$4*$G$2</f>
        <v>2.2072499999999998E-2</v>
      </c>
      <c r="F3" t="s">
        <v>14</v>
      </c>
      <c r="G3">
        <v>0.05</v>
      </c>
    </row>
    <row r="4" spans="1:7">
      <c r="A4">
        <v>3</v>
      </c>
      <c r="B4">
        <v>2.94</v>
      </c>
      <c r="C4">
        <v>0</v>
      </c>
      <c r="D4" t="e">
        <f t="shared" si="0"/>
        <v>#N/A</v>
      </c>
      <c r="E4">
        <f t="shared" si="1"/>
        <v>3.3108750000000006E-2</v>
      </c>
      <c r="F4" t="s">
        <v>15</v>
      </c>
      <c r="G4">
        <v>2.2499999999999999E-2</v>
      </c>
    </row>
    <row r="5" spans="1:7">
      <c r="A5">
        <v>4</v>
      </c>
      <c r="B5">
        <v>1.58</v>
      </c>
      <c r="C5">
        <v>0.01</v>
      </c>
      <c r="D5">
        <f t="shared" si="0"/>
        <v>1.1486392405063292E-2</v>
      </c>
      <c r="E5">
        <f t="shared" si="1"/>
        <v>4.4144999999999997E-2</v>
      </c>
    </row>
    <row r="6" spans="1:7">
      <c r="A6">
        <v>5</v>
      </c>
      <c r="B6">
        <v>1.46</v>
      </c>
      <c r="C6">
        <v>0</v>
      </c>
      <c r="D6" t="e">
        <f t="shared" si="0"/>
        <v>#N/A</v>
      </c>
      <c r="E6">
        <f t="shared" si="1"/>
        <v>5.5181250000000001E-2</v>
      </c>
    </row>
    <row r="7" spans="1:7">
      <c r="A7">
        <v>6</v>
      </c>
      <c r="B7">
        <v>1.32</v>
      </c>
      <c r="C7">
        <v>0</v>
      </c>
      <c r="D7" t="e">
        <f t="shared" si="0"/>
        <v>#N/A</v>
      </c>
      <c r="E7">
        <f t="shared" si="1"/>
        <v>6.6217500000000012E-2</v>
      </c>
    </row>
    <row r="8" spans="1:7"/>
    <row r="9" spans="1:7">
      <c r="A9" t="s">
        <v>18</v>
      </c>
    </row>
    <row r="10" spans="1:7">
      <c r="A10" t="s">
        <v>17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485BB-9435-43E9-877E-19961899D0C9}">
  <dimension ref="A1:G10"/>
  <sheetViews>
    <sheetView workbookViewId="0">
      <selection activeCell="L2" sqref="L2:S2"/>
    </sheetView>
  </sheetViews>
  <sheetFormatPr defaultColWidth="11.42578125" defaultRowHeight="15" customHeight="1"/>
  <cols>
    <col min="1" max="2" width="13.140625" customWidth="1"/>
    <col min="3" max="3" width="16" customWidth="1"/>
    <col min="4" max="4" width="20.85546875" customWidth="1"/>
    <col min="5" max="5" width="17.140625" customWidth="1"/>
    <col min="6" max="6" width="24.5703125" customWidth="1"/>
  </cols>
  <sheetData>
    <row r="1" spans="1:7" ht="14.45">
      <c r="A1" t="s">
        <v>9</v>
      </c>
      <c r="B1" t="s">
        <v>10</v>
      </c>
      <c r="C1" t="s">
        <v>11</v>
      </c>
      <c r="D1" t="s">
        <v>12</v>
      </c>
      <c r="E1" t="s">
        <v>13</v>
      </c>
      <c r="F1" s="1" t="s">
        <v>5</v>
      </c>
      <c r="G1" s="1">
        <v>0.185</v>
      </c>
    </row>
    <row r="2" spans="1:7">
      <c r="A2">
        <v>3</v>
      </c>
      <c r="B2">
        <v>3.84</v>
      </c>
      <c r="C2">
        <v>1.2E-2</v>
      </c>
      <c r="D2">
        <f>IF($C2*$G$1*$G$2/$B2, $C2*$G$1*$G$2/$B2, NA())</f>
        <v>5.6714062500000011E-3</v>
      </c>
      <c r="E2">
        <f>$G$3*$A2*$G$4*$G$2</f>
        <v>3.3108750000000006E-2</v>
      </c>
      <c r="F2" s="1" t="s">
        <v>6</v>
      </c>
      <c r="G2" s="1">
        <v>9.81</v>
      </c>
    </row>
    <row r="3" spans="1:7" ht="14.45">
      <c r="A3">
        <v>3.5</v>
      </c>
      <c r="B3">
        <v>3.05</v>
      </c>
      <c r="C3">
        <v>0.03</v>
      </c>
      <c r="D3">
        <f t="shared" ref="D3:D7" si="0">IF($C3*$G$1*$G$2/$B3, $C3*$G$1*$G$2/$B3, NA())</f>
        <v>1.7850983606557375E-2</v>
      </c>
      <c r="E3">
        <f t="shared" ref="E3:E7" si="1">$G$3*$A3*$G$4*$G$2</f>
        <v>3.8626875000000005E-2</v>
      </c>
      <c r="F3" t="s">
        <v>14</v>
      </c>
      <c r="G3">
        <v>0.05</v>
      </c>
    </row>
    <row r="4" spans="1:7">
      <c r="A4">
        <v>4</v>
      </c>
      <c r="B4">
        <v>2.19</v>
      </c>
      <c r="C4">
        <v>3.5000000000000003E-2</v>
      </c>
      <c r="D4">
        <f t="shared" si="0"/>
        <v>2.9004452054794527E-2</v>
      </c>
      <c r="E4">
        <f t="shared" si="1"/>
        <v>4.4144999999999997E-2</v>
      </c>
      <c r="F4" t="s">
        <v>15</v>
      </c>
      <c r="G4">
        <v>2.2499999999999999E-2</v>
      </c>
    </row>
    <row r="5" spans="1:7">
      <c r="A5">
        <v>4.5</v>
      </c>
      <c r="B5">
        <v>2.06</v>
      </c>
      <c r="C5">
        <v>3.2000000000000001E-2</v>
      </c>
      <c r="D5">
        <f t="shared" si="0"/>
        <v>2.8191844660194174E-2</v>
      </c>
      <c r="E5">
        <f t="shared" si="1"/>
        <v>4.9663125000000002E-2</v>
      </c>
    </row>
    <row r="6" spans="1:7">
      <c r="A6">
        <v>5</v>
      </c>
      <c r="B6">
        <v>1.73</v>
      </c>
      <c r="C6">
        <v>0.02</v>
      </c>
      <c r="D6">
        <f t="shared" si="0"/>
        <v>2.0980924855491332E-2</v>
      </c>
      <c r="E6">
        <f t="shared" si="1"/>
        <v>5.5181250000000001E-2</v>
      </c>
    </row>
    <row r="7" spans="1:7">
      <c r="A7">
        <v>6</v>
      </c>
      <c r="B7">
        <v>1.51</v>
      </c>
      <c r="C7">
        <v>0</v>
      </c>
      <c r="D7" t="e">
        <f t="shared" si="0"/>
        <v>#N/A</v>
      </c>
      <c r="E7">
        <f t="shared" si="1"/>
        <v>6.6217500000000012E-2</v>
      </c>
    </row>
    <row r="8" spans="1:7"/>
    <row r="9" spans="1:7">
      <c r="A9" t="s">
        <v>19</v>
      </c>
    </row>
    <row r="10" spans="1:7">
      <c r="A10" t="s">
        <v>17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FBCAF-6DD6-4550-A95B-BB502F171BB8}">
  <dimension ref="A1:G15"/>
  <sheetViews>
    <sheetView workbookViewId="0">
      <selection activeCell="D21" sqref="D21"/>
    </sheetView>
  </sheetViews>
  <sheetFormatPr defaultColWidth="11.42578125" defaultRowHeight="15" customHeight="1"/>
  <cols>
    <col min="1" max="2" width="13.140625" customWidth="1"/>
    <col min="3" max="3" width="16" customWidth="1"/>
    <col min="4" max="4" width="20.85546875" customWidth="1"/>
    <col min="5" max="5" width="17.140625" customWidth="1"/>
    <col min="6" max="6" width="24.5703125" customWidth="1"/>
  </cols>
  <sheetData>
    <row r="1" spans="1:7" ht="14.45">
      <c r="A1" t="s">
        <v>9</v>
      </c>
      <c r="B1" t="s">
        <v>10</v>
      </c>
      <c r="C1" t="s">
        <v>11</v>
      </c>
      <c r="D1" t="s">
        <v>12</v>
      </c>
      <c r="E1" t="s">
        <v>13</v>
      </c>
      <c r="F1" s="1" t="s">
        <v>5</v>
      </c>
      <c r="G1" s="1">
        <v>0.185</v>
      </c>
    </row>
    <row r="2" spans="1:7">
      <c r="A2">
        <v>3</v>
      </c>
      <c r="B2">
        <v>3.19</v>
      </c>
      <c r="C2">
        <v>2.7E-2</v>
      </c>
      <c r="D2">
        <f>IF($C2*$G$1*$G$2/$B2, $C2*$G$1*$G$2/$B2, NA())</f>
        <v>1.5360799373040756E-2</v>
      </c>
      <c r="E2">
        <f>$G$3*$A2*$G$4*$G$2</f>
        <v>3.3108750000000006E-2</v>
      </c>
      <c r="F2" s="1" t="s">
        <v>6</v>
      </c>
      <c r="G2" s="1">
        <v>9.81</v>
      </c>
    </row>
    <row r="3" spans="1:7" ht="14.45">
      <c r="A3">
        <v>4</v>
      </c>
      <c r="B3">
        <v>2.57</v>
      </c>
      <c r="C3">
        <v>0.04</v>
      </c>
      <c r="D3">
        <f>IF($C3*$G$1*$G$2/$B3, $C3*$G$1*$G$2/$B3, NA())</f>
        <v>2.8246692607003895E-2</v>
      </c>
      <c r="E3">
        <f>$G$3*$A3*$G$4*$G$2</f>
        <v>4.4144999999999997E-2</v>
      </c>
      <c r="F3" t="s">
        <v>14</v>
      </c>
      <c r="G3">
        <v>0.05</v>
      </c>
    </row>
    <row r="4" spans="1:7">
      <c r="A4">
        <v>5</v>
      </c>
      <c r="B4">
        <v>2.15</v>
      </c>
      <c r="C4">
        <v>3.7999999999999999E-2</v>
      </c>
      <c r="D4">
        <f>IF($C4*$G$1*$G$2/$B4, $C4*$G$1*$G$2/$B4, NA())</f>
        <v>3.2076418604651165E-2</v>
      </c>
      <c r="E4">
        <f>$G$3*$A4*$G$4*$G$2</f>
        <v>5.5181250000000001E-2</v>
      </c>
      <c r="F4" t="s">
        <v>15</v>
      </c>
      <c r="G4">
        <v>2.2499999999999999E-2</v>
      </c>
    </row>
    <row r="5" spans="1:7">
      <c r="A5">
        <v>6</v>
      </c>
      <c r="B5">
        <v>2.11</v>
      </c>
      <c r="C5">
        <v>0.03</v>
      </c>
      <c r="D5">
        <f>IF($C5*$G$1*$G$2/$B5, $C5*$G$1*$G$2/$B5, NA())</f>
        <v>2.5803554502369666E-2</v>
      </c>
      <c r="E5">
        <f>$G$3*$A5*$G$4*$G$2</f>
        <v>6.6217500000000012E-2</v>
      </c>
    </row>
    <row r="6" spans="1:7">
      <c r="A6">
        <v>7</v>
      </c>
      <c r="B6">
        <v>2.0099999999999998</v>
      </c>
      <c r="C6">
        <v>0.02</v>
      </c>
      <c r="D6">
        <f>IF($C6*$G$1*$G$2/$B6, $C6*$G$1*$G$2/$B6, NA())</f>
        <v>1.8058208955223885E-2</v>
      </c>
      <c r="E6">
        <f>$G$3*$A6*$G$4*$G$2</f>
        <v>7.725375000000001E-2</v>
      </c>
    </row>
    <row r="7" spans="1:7"/>
    <row r="8" spans="1:7"/>
    <row r="9" spans="1:7">
      <c r="A9" t="s">
        <v>19</v>
      </c>
    </row>
    <row r="10" spans="1:7">
      <c r="A10" t="s">
        <v>20</v>
      </c>
    </row>
    <row r="12" spans="1:7" ht="15" customHeight="1">
      <c r="A12" t="s">
        <v>7</v>
      </c>
      <c r="B12">
        <v>5.518E-2</v>
      </c>
    </row>
    <row r="13" spans="1:7" ht="15" customHeight="1">
      <c r="A13" t="s">
        <v>21</v>
      </c>
      <c r="B13" s="2">
        <f>B12/Rotokennlinie!K2</f>
        <v>1.8749575263336731</v>
      </c>
    </row>
    <row r="14" spans="1:7" ht="15" customHeight="1">
      <c r="A14" t="s">
        <v>22</v>
      </c>
      <c r="B14">
        <f>Übersetzung!B5</f>
        <v>8</v>
      </c>
    </row>
    <row r="15" spans="1:7" ht="15" customHeight="1">
      <c r="A15" t="s">
        <v>23</v>
      </c>
      <c r="B15">
        <f>Übersetzung!B4</f>
        <v>15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0DED-D41A-44E5-98A6-9F91B4F986FD}">
  <dimension ref="A1:K25"/>
  <sheetViews>
    <sheetView workbookViewId="0">
      <selection activeCell="E18" sqref="E18"/>
    </sheetView>
  </sheetViews>
  <sheetFormatPr defaultColWidth="11.42578125" defaultRowHeight="15" customHeight="1"/>
  <cols>
    <col min="1" max="1" width="13.140625" customWidth="1"/>
    <col min="2" max="2" width="8.5703125" customWidth="1"/>
    <col min="3" max="3" width="15.42578125" customWidth="1"/>
    <col min="4" max="4" width="14.7109375" customWidth="1"/>
    <col min="5" max="5" width="16.7109375" customWidth="1"/>
    <col min="6" max="6" width="21.42578125" customWidth="1"/>
    <col min="7" max="7" width="6.42578125" customWidth="1"/>
  </cols>
  <sheetData>
    <row r="1" spans="1:11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>
        <v>0.5</v>
      </c>
    </row>
    <row r="2" spans="1:11">
      <c r="A2" s="1">
        <v>30</v>
      </c>
      <c r="B2">
        <v>0.05</v>
      </c>
      <c r="C2">
        <v>9.93</v>
      </c>
      <c r="D2" s="1">
        <f t="shared" ref="D2:D9" si="0">$G$2*$B2*$G$3</f>
        <v>4.9050000000000005E-3</v>
      </c>
      <c r="E2" s="1">
        <f>IF($B2*$G$1*$G$2/$C2&gt;0, $B2*$G$1*$G$2/$C2, NA())</f>
        <v>2.4697885196374624E-2</v>
      </c>
      <c r="F2" s="1" t="s">
        <v>6</v>
      </c>
      <c r="G2" s="1">
        <v>9.81</v>
      </c>
      <c r="J2" t="s">
        <v>7</v>
      </c>
      <c r="K2">
        <v>2.9430000000000001E-2</v>
      </c>
    </row>
    <row r="3" spans="1:11">
      <c r="B3" s="1">
        <v>0.1</v>
      </c>
      <c r="C3">
        <v>10.119999999999999</v>
      </c>
      <c r="D3" s="1">
        <f t="shared" si="0"/>
        <v>9.810000000000001E-3</v>
      </c>
      <c r="E3" s="1">
        <f t="shared" ref="E3:E25" si="1">IF($B3*$G$1*$G$2/$C3&gt;0, $B3*$G$1*$G$2/$C3, NA())</f>
        <v>4.8468379446640328E-2</v>
      </c>
      <c r="F3" s="1" t="s">
        <v>8</v>
      </c>
      <c r="G3" s="1">
        <v>0.01</v>
      </c>
    </row>
    <row r="4" spans="1:11">
      <c r="B4">
        <v>0.15</v>
      </c>
      <c r="C4" s="1">
        <v>11.23</v>
      </c>
      <c r="D4" s="1">
        <f t="shared" si="0"/>
        <v>1.4715000000000001E-2</v>
      </c>
      <c r="E4" s="1">
        <f t="shared" si="1"/>
        <v>6.5516473731077468E-2</v>
      </c>
      <c r="F4" s="1"/>
      <c r="G4" s="1"/>
    </row>
    <row r="5" spans="1:11">
      <c r="A5" s="1"/>
      <c r="B5" s="1">
        <v>0.2</v>
      </c>
      <c r="C5" s="1">
        <v>13.73</v>
      </c>
      <c r="D5" s="1">
        <f t="shared" si="0"/>
        <v>1.9620000000000002E-2</v>
      </c>
      <c r="E5" s="1">
        <f t="shared" si="1"/>
        <v>7.144938091769848E-2</v>
      </c>
    </row>
    <row r="6" spans="1:11">
      <c r="B6" s="1">
        <v>0.3</v>
      </c>
      <c r="C6" s="1">
        <v>16.39</v>
      </c>
      <c r="D6" s="1">
        <f>$G$2*$B6*$G$3</f>
        <v>2.9430000000000001E-2</v>
      </c>
      <c r="E6" s="1">
        <f t="shared" si="1"/>
        <v>8.9780353874313601E-2</v>
      </c>
    </row>
    <row r="7" spans="1:11">
      <c r="B7">
        <v>0.4</v>
      </c>
      <c r="C7">
        <v>24.07</v>
      </c>
      <c r="D7" s="1">
        <f t="shared" si="0"/>
        <v>3.9240000000000004E-2</v>
      </c>
      <c r="E7" s="1">
        <f t="shared" si="1"/>
        <v>8.151225592023266E-2</v>
      </c>
    </row>
    <row r="8" spans="1:11">
      <c r="B8">
        <v>0.5</v>
      </c>
      <c r="C8" t="e">
        <f>NA()</f>
        <v>#N/A</v>
      </c>
      <c r="D8" s="1">
        <f t="shared" si="0"/>
        <v>4.9050000000000003E-2</v>
      </c>
      <c r="E8" s="1" t="e">
        <f t="shared" si="1"/>
        <v>#N/A</v>
      </c>
    </row>
    <row r="9" spans="1:11">
      <c r="B9">
        <v>0.6</v>
      </c>
      <c r="C9" t="e">
        <f>NA()</f>
        <v>#N/A</v>
      </c>
      <c r="D9" s="1">
        <f t="shared" si="0"/>
        <v>5.8860000000000003E-2</v>
      </c>
      <c r="E9" s="1" t="e">
        <f t="shared" si="1"/>
        <v>#N/A</v>
      </c>
    </row>
    <row r="10" spans="1:11">
      <c r="A10" s="1">
        <v>45</v>
      </c>
      <c r="B10" s="1">
        <f>$B2</f>
        <v>0.05</v>
      </c>
      <c r="C10" s="1">
        <v>10.06</v>
      </c>
      <c r="D10" s="1">
        <f>$G$2*$B10*$G$3</f>
        <v>4.9050000000000005E-3</v>
      </c>
      <c r="E10" s="1">
        <f t="shared" si="1"/>
        <v>2.4378727634194831E-2</v>
      </c>
    </row>
    <row r="11" spans="1:11">
      <c r="A11" s="1"/>
      <c r="B11" s="1">
        <f>$B3</f>
        <v>0.1</v>
      </c>
      <c r="C11" s="1">
        <v>10.57</v>
      </c>
      <c r="D11" s="1">
        <f>$G$2*$B11*$G$3</f>
        <v>9.810000000000001E-3</v>
      </c>
      <c r="E11" s="1">
        <f t="shared" si="1"/>
        <v>4.6404919583727534E-2</v>
      </c>
      <c r="F11" s="1"/>
      <c r="G11" s="1"/>
    </row>
    <row r="12" spans="1:11">
      <c r="A12" s="1"/>
      <c r="B12" s="1">
        <f>$B4</f>
        <v>0.15</v>
      </c>
      <c r="C12" s="1">
        <v>11.01</v>
      </c>
      <c r="D12" s="1">
        <f>$G$2*$B12*$G$3</f>
        <v>1.4715000000000001E-2</v>
      </c>
      <c r="E12" s="1">
        <f t="shared" si="1"/>
        <v>6.6825613079019075E-2</v>
      </c>
      <c r="F12" s="1"/>
      <c r="G12" s="1"/>
    </row>
    <row r="13" spans="1:11">
      <c r="A13" s="1"/>
      <c r="B13" s="1">
        <f>$B5</f>
        <v>0.2</v>
      </c>
      <c r="C13" s="1">
        <v>12.27</v>
      </c>
      <c r="D13" s="1">
        <f>$G$2*$B13*$G$3</f>
        <v>1.9620000000000002E-2</v>
      </c>
      <c r="E13" s="1">
        <f t="shared" si="1"/>
        <v>7.9951100244498793E-2</v>
      </c>
      <c r="F13" s="1"/>
      <c r="G13" s="1"/>
    </row>
    <row r="14" spans="1:11" ht="15" customHeight="1">
      <c r="A14" s="1"/>
      <c r="B14" s="1">
        <f>$B6</f>
        <v>0.3</v>
      </c>
      <c r="C14" s="1">
        <v>15.43</v>
      </c>
      <c r="D14" s="1">
        <f>$G$2*$B14*$G$3</f>
        <v>2.9430000000000001E-2</v>
      </c>
      <c r="E14" s="1">
        <f t="shared" si="1"/>
        <v>9.5366169799092682E-2</v>
      </c>
    </row>
    <row r="15" spans="1:11" ht="15" customHeight="1">
      <c r="B15" s="1">
        <f t="shared" ref="B15:B17" si="2">$B7</f>
        <v>0.4</v>
      </c>
      <c r="C15">
        <v>22.75</v>
      </c>
      <c r="D15" s="1">
        <f t="shared" ref="D15:D17" si="3">$G$2*$B15*$G$3</f>
        <v>3.9240000000000004E-2</v>
      </c>
      <c r="E15" s="1">
        <f t="shared" si="1"/>
        <v>8.6241758241758254E-2</v>
      </c>
    </row>
    <row r="16" spans="1:11" ht="15" customHeight="1">
      <c r="B16" s="1">
        <f t="shared" si="2"/>
        <v>0.5</v>
      </c>
      <c r="C16">
        <v>63.3</v>
      </c>
      <c r="D16" s="1">
        <f t="shared" si="3"/>
        <v>4.9050000000000003E-2</v>
      </c>
      <c r="E16" s="1">
        <f t="shared" si="1"/>
        <v>3.8744075829383891E-2</v>
      </c>
    </row>
    <row r="17" spans="1:5" ht="15" customHeight="1">
      <c r="B17" s="1">
        <f t="shared" si="2"/>
        <v>0.6</v>
      </c>
      <c r="C17" t="e">
        <f>NA()</f>
        <v>#N/A</v>
      </c>
      <c r="D17" s="1">
        <f t="shared" si="3"/>
        <v>5.8860000000000003E-2</v>
      </c>
      <c r="E17" s="1" t="e">
        <f t="shared" si="1"/>
        <v>#N/A</v>
      </c>
    </row>
    <row r="18" spans="1:5" ht="15" customHeight="1">
      <c r="A18" s="1">
        <v>60</v>
      </c>
      <c r="B18" s="1">
        <f>$B10</f>
        <v>0.05</v>
      </c>
      <c r="C18">
        <v>20.96</v>
      </c>
      <c r="D18" s="1">
        <f>$G$2*$B18*$G$3</f>
        <v>4.9050000000000005E-3</v>
      </c>
      <c r="E18" s="1">
        <f t="shared" si="1"/>
        <v>1.1700858778625955E-2</v>
      </c>
    </row>
    <row r="19" spans="1:5" ht="15" customHeight="1">
      <c r="A19" s="1"/>
      <c r="B19" s="1">
        <f>$B11</f>
        <v>0.1</v>
      </c>
      <c r="C19">
        <v>23.72</v>
      </c>
      <c r="D19" s="1">
        <f>$G$2*$B19*$G$3</f>
        <v>9.810000000000001E-3</v>
      </c>
      <c r="E19" s="1">
        <f t="shared" si="1"/>
        <v>2.0678752107925805E-2</v>
      </c>
    </row>
    <row r="20" spans="1:5" ht="15" customHeight="1">
      <c r="B20" s="1">
        <f>$B12</f>
        <v>0.15</v>
      </c>
      <c r="C20">
        <v>25.12</v>
      </c>
      <c r="D20" s="1">
        <f>$G$2*$B20*$G$3</f>
        <v>1.4715000000000001E-2</v>
      </c>
      <c r="E20" s="1">
        <f t="shared" si="1"/>
        <v>2.9289410828025476E-2</v>
      </c>
    </row>
    <row r="21" spans="1:5" ht="15" customHeight="1">
      <c r="B21" s="1">
        <f>$B13</f>
        <v>0.2</v>
      </c>
      <c r="C21">
        <v>29.2</v>
      </c>
      <c r="D21" s="1">
        <f>$G$2*$B21*$G$3</f>
        <v>1.9620000000000002E-2</v>
      </c>
      <c r="E21" s="1">
        <f t="shared" si="1"/>
        <v>3.3595890410958909E-2</v>
      </c>
    </row>
    <row r="22" spans="1:5" ht="15" customHeight="1">
      <c r="B22" s="1">
        <f>$B14</f>
        <v>0.3</v>
      </c>
      <c r="C22">
        <v>41.5</v>
      </c>
      <c r="D22" s="1">
        <f>$G$2*$B22*$G$3</f>
        <v>2.9430000000000001E-2</v>
      </c>
      <c r="E22" s="1">
        <f t="shared" si="1"/>
        <v>3.5457831325301205E-2</v>
      </c>
    </row>
    <row r="23" spans="1:5" ht="15" customHeight="1">
      <c r="B23" s="1">
        <f t="shared" ref="B23:B25" si="4">$B15</f>
        <v>0.4</v>
      </c>
      <c r="C23">
        <v>49.22</v>
      </c>
      <c r="D23" s="1">
        <f t="shared" ref="D23:D25" si="5">$G$2*$B23*$G$3</f>
        <v>3.9240000000000004E-2</v>
      </c>
      <c r="E23" s="1">
        <f t="shared" si="1"/>
        <v>3.9861844778545312E-2</v>
      </c>
    </row>
    <row r="24" spans="1:5" ht="15" customHeight="1">
      <c r="B24" s="1">
        <f t="shared" si="4"/>
        <v>0.5</v>
      </c>
      <c r="C24" t="e">
        <f>NA()</f>
        <v>#N/A</v>
      </c>
      <c r="D24" s="1">
        <f t="shared" si="5"/>
        <v>4.9050000000000003E-2</v>
      </c>
      <c r="E24" s="1" t="e">
        <f t="shared" si="1"/>
        <v>#N/A</v>
      </c>
    </row>
    <row r="25" spans="1:5" ht="15" customHeight="1">
      <c r="B25" s="1">
        <f t="shared" si="4"/>
        <v>0.6</v>
      </c>
      <c r="C25" t="e">
        <f>NA()</f>
        <v>#N/A</v>
      </c>
      <c r="D25" s="1">
        <f t="shared" si="5"/>
        <v>5.8860000000000003E-2</v>
      </c>
      <c r="E25" s="1" t="e">
        <f t="shared" si="1"/>
        <v>#N/A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8F6C-B362-47BC-B58A-7B12ACA57E90}">
  <dimension ref="A1:G15"/>
  <sheetViews>
    <sheetView topLeftCell="D1" workbookViewId="0"/>
  </sheetViews>
  <sheetFormatPr defaultColWidth="11.42578125" defaultRowHeight="15" customHeight="1"/>
  <cols>
    <col min="1" max="2" width="13.140625" customWidth="1"/>
    <col min="3" max="3" width="16" customWidth="1"/>
    <col min="4" max="4" width="20.85546875" customWidth="1"/>
    <col min="5" max="5" width="17.140625" customWidth="1"/>
    <col min="6" max="6" width="24.5703125" customWidth="1"/>
  </cols>
  <sheetData>
    <row r="1" spans="1:7" ht="14.45">
      <c r="A1" t="s">
        <v>9</v>
      </c>
      <c r="B1" t="s">
        <v>10</v>
      </c>
      <c r="C1" t="s">
        <v>11</v>
      </c>
      <c r="D1" t="s">
        <v>12</v>
      </c>
      <c r="E1" t="s">
        <v>13</v>
      </c>
      <c r="F1" s="1" t="s">
        <v>5</v>
      </c>
      <c r="G1" s="1">
        <v>0.185</v>
      </c>
    </row>
    <row r="2" spans="1:7">
      <c r="A2">
        <v>3</v>
      </c>
      <c r="B2">
        <v>3.19</v>
      </c>
      <c r="C2">
        <v>2.7E-2</v>
      </c>
      <c r="D2">
        <f>IF($C2*$G$1*$G$2/$B2, $C2*$G$1*$G$2/$B2, NA())</f>
        <v>1.5360799373040756E-2</v>
      </c>
      <c r="E2">
        <f>$G$3*$A2*$G$4*$G$2</f>
        <v>3.3108750000000006E-2</v>
      </c>
      <c r="F2" s="1" t="s">
        <v>6</v>
      </c>
      <c r="G2" s="1">
        <v>9.81</v>
      </c>
    </row>
    <row r="3" spans="1:7" ht="14.45">
      <c r="A3">
        <v>4</v>
      </c>
      <c r="B3">
        <v>2.57</v>
      </c>
      <c r="C3">
        <v>0.04</v>
      </c>
      <c r="D3">
        <f>IF($C3*$G$1*$G$2/$B3, $C3*$G$1*$G$2/$B3, NA())</f>
        <v>2.8246692607003895E-2</v>
      </c>
      <c r="E3">
        <f>$G$3*$A3*$G$4*$G$2</f>
        <v>4.4144999999999997E-2</v>
      </c>
      <c r="F3" t="s">
        <v>14</v>
      </c>
      <c r="G3">
        <v>0.05</v>
      </c>
    </row>
    <row r="4" spans="1:7">
      <c r="A4">
        <v>5</v>
      </c>
      <c r="B4">
        <v>2.15</v>
      </c>
      <c r="C4">
        <v>3.7999999999999999E-2</v>
      </c>
      <c r="D4">
        <f>IF($C4*$G$1*$G$2/$B4, $C4*$G$1*$G$2/$B4, NA())</f>
        <v>3.2076418604651165E-2</v>
      </c>
      <c r="E4">
        <f>$G$3*$A4*$G$4*$G$2</f>
        <v>5.5181250000000001E-2</v>
      </c>
      <c r="F4" t="s">
        <v>15</v>
      </c>
      <c r="G4">
        <v>2.2499999999999999E-2</v>
      </c>
    </row>
    <row r="5" spans="1:7">
      <c r="A5">
        <v>6</v>
      </c>
      <c r="B5">
        <v>2.11</v>
      </c>
      <c r="C5">
        <v>0.03</v>
      </c>
      <c r="D5">
        <f>IF($C5*$G$1*$G$2/$B5, $C5*$G$1*$G$2/$B5, NA())</f>
        <v>2.5803554502369666E-2</v>
      </c>
      <c r="E5">
        <f>$G$3*$A5*$G$4*$G$2</f>
        <v>6.6217500000000012E-2</v>
      </c>
    </row>
    <row r="6" spans="1:7">
      <c r="A6">
        <v>7</v>
      </c>
      <c r="B6">
        <v>2.0099999999999998</v>
      </c>
      <c r="C6">
        <v>0.02</v>
      </c>
      <c r="D6">
        <f>IF($C6*$G$1*$G$2/$B6, $C6*$G$1*$G$2/$B6, NA())</f>
        <v>1.8058208955223885E-2</v>
      </c>
      <c r="E6">
        <f>$G$3*$A6*$G$4*$G$2</f>
        <v>7.725375000000001E-2</v>
      </c>
    </row>
    <row r="7" spans="1:7"/>
    <row r="8" spans="1:7"/>
    <row r="9" spans="1:7">
      <c r="A9" t="s">
        <v>19</v>
      </c>
    </row>
    <row r="10" spans="1:7">
      <c r="A10" t="s">
        <v>20</v>
      </c>
    </row>
    <row r="12" spans="1:7" ht="15" customHeight="1">
      <c r="A12" t="s">
        <v>7</v>
      </c>
      <c r="B12">
        <v>5.518E-2</v>
      </c>
    </row>
    <row r="13" spans="1:7" ht="15" customHeight="1">
      <c r="A13" t="s">
        <v>21</v>
      </c>
      <c r="B13" s="2">
        <f>B12/Rotokennlinie!K2</f>
        <v>1.8749575263336731</v>
      </c>
    </row>
    <row r="14" spans="1:7" ht="15" customHeight="1">
      <c r="A14" t="s">
        <v>22</v>
      </c>
      <c r="B14">
        <f>Übersetzung!B5</f>
        <v>8</v>
      </c>
    </row>
    <row r="15" spans="1:7" ht="15" customHeight="1">
      <c r="A15" t="s">
        <v>23</v>
      </c>
      <c r="B15">
        <f>Übersetzung!B4</f>
        <v>15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DA05-FD8D-4AE2-9022-DEE2CA1DA3BE}">
  <dimension ref="A1:E6"/>
  <sheetViews>
    <sheetView tabSelected="1" workbookViewId="0">
      <selection activeCell="B9" sqref="B9"/>
    </sheetView>
  </sheetViews>
  <sheetFormatPr defaultRowHeight="15"/>
  <cols>
    <col min="1" max="1" width="15.42578125" customWidth="1"/>
    <col min="2" max="2" width="14.85546875" customWidth="1"/>
    <col min="3" max="3" width="18.5703125" customWidth="1"/>
    <col min="4" max="4" width="17.28515625" customWidth="1"/>
    <col min="5" max="5" width="16.28515625" customWidth="1"/>
    <col min="6" max="6" width="8" customWidth="1"/>
  </cols>
  <sheetData>
    <row r="1" spans="1:5">
      <c r="A1">
        <f>'Pumpenkennlinie final'!B12</f>
        <v>5.518E-2</v>
      </c>
      <c r="B1">
        <f>Rotokennlinie!K2</f>
        <v>2.9430000000000001E-2</v>
      </c>
      <c r="C1">
        <f>A$1-B$2*B$1</f>
        <v>2.5749999999999999E-2</v>
      </c>
      <c r="D1">
        <f t="shared" ref="D1:G1" si="0">B$1-C$2*C$1</f>
        <v>3.6800000000000027E-3</v>
      </c>
      <c r="E1">
        <f t="shared" si="0"/>
        <v>3.6699999999999823E-3</v>
      </c>
    </row>
    <row r="2" spans="1:5">
      <c r="A2">
        <f>$A$1/$B$1</f>
        <v>1.8749575263336731</v>
      </c>
      <c r="B2">
        <f>INT(A$1/B$1)</f>
        <v>1</v>
      </c>
      <c r="C2">
        <f>INT(B$1/C$1)</f>
        <v>1</v>
      </c>
      <c r="D2">
        <f t="shared" ref="D2:F2" si="1">INT(C$1/D$1)</f>
        <v>6</v>
      </c>
      <c r="E2">
        <f t="shared" si="1"/>
        <v>1</v>
      </c>
    </row>
    <row r="3" spans="1:5">
      <c r="A3" t="s">
        <v>24</v>
      </c>
      <c r="B3">
        <f>B$2+IF(C$3&gt;0,1/C$3,0)</f>
        <v>1.875</v>
      </c>
      <c r="C3">
        <f t="shared" ref="C3:F3" si="2">C$2+IF(D$3&gt;0,1/D$3,0)</f>
        <v>1.1428571428571428</v>
      </c>
      <c r="D3">
        <f t="shared" si="2"/>
        <v>7</v>
      </c>
      <c r="E3">
        <f t="shared" si="2"/>
        <v>1</v>
      </c>
    </row>
    <row r="4" spans="1:5">
      <c r="A4" t="s">
        <v>25</v>
      </c>
      <c r="B4">
        <f t="shared" ref="B4:E4" si="3">IF(C$4&gt;0,C$4,B$2)+B$2*C$5</f>
        <v>15</v>
      </c>
      <c r="C4">
        <f t="shared" si="3"/>
        <v>8</v>
      </c>
      <c r="D4">
        <f t="shared" si="3"/>
        <v>7</v>
      </c>
      <c r="E4">
        <f t="shared" si="3"/>
        <v>1</v>
      </c>
    </row>
    <row r="5" spans="1:5">
      <c r="A5" t="s">
        <v>26</v>
      </c>
      <c r="B5">
        <f t="shared" ref="B5:E5" si="4">IF(C$4&gt;0, C$4, 1)</f>
        <v>8</v>
      </c>
      <c r="C5">
        <f t="shared" si="4"/>
        <v>7</v>
      </c>
      <c r="D5">
        <f t="shared" si="4"/>
        <v>1</v>
      </c>
      <c r="E5">
        <f t="shared" si="4"/>
        <v>1</v>
      </c>
    </row>
    <row r="6" spans="1:5">
      <c r="B6">
        <f>B$3-$A$2</f>
        <v>4.2473666326925397E-5</v>
      </c>
      <c r="C6">
        <f t="shared" ref="C6:E6" si="5">C$3-$A$2</f>
        <v>-0.73210038347653028</v>
      </c>
      <c r="D6">
        <f t="shared" si="5"/>
        <v>5.1250424736663271</v>
      </c>
      <c r="E6">
        <f t="shared" si="5"/>
        <v>-0.87495752633367307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76316D1B09904ABF9B6AC3DCE62340" ma:contentTypeVersion="3" ma:contentTypeDescription="Create a new document." ma:contentTypeScope="" ma:versionID="e24679dc0c589eaa0105ec0c277e4139">
  <xsd:schema xmlns:xsd="http://www.w3.org/2001/XMLSchema" xmlns:xs="http://www.w3.org/2001/XMLSchema" xmlns:p="http://schemas.microsoft.com/office/2006/metadata/properties" xmlns:ns2="49b69e14-5500-4824-9263-8af50c6ab18e" targetNamespace="http://schemas.microsoft.com/office/2006/metadata/properties" ma:root="true" ma:fieldsID="52dc8d077da8146764382cb4c1c6d6e4" ns2:_="">
    <xsd:import namespace="49b69e14-5500-4824-9263-8af50c6ab1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b69e14-5500-4824-9263-8af50c6ab1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A58638-B614-4110-AA3D-2586D29AD345}"/>
</file>

<file path=customXml/itemProps2.xml><?xml version="1.0" encoding="utf-8"?>
<ds:datastoreItem xmlns:ds="http://schemas.openxmlformats.org/officeDocument/2006/customXml" ds:itemID="{E4828B3B-B51E-4AD8-849A-D258F2D683AB}"/>
</file>

<file path=customXml/itemProps3.xml><?xml version="1.0" encoding="utf-8"?>
<ds:datastoreItem xmlns:ds="http://schemas.openxmlformats.org/officeDocument/2006/customXml" ds:itemID="{5260DE18-92E3-4D06-88CC-E962989FCE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 Braungardt</dc:creator>
  <cp:keywords/>
  <dc:description/>
  <cp:lastModifiedBy>Tim Braungardt</cp:lastModifiedBy>
  <cp:revision/>
  <dcterms:created xsi:type="dcterms:W3CDTF">2026-01-20T11:33:35Z</dcterms:created>
  <dcterms:modified xsi:type="dcterms:W3CDTF">2026-04-14T14:35:15Z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0x0101007A76316D1B09904ABF9B6AC3DCE62340</vt:lpwstr>
  </property>
</Properties>
</file>